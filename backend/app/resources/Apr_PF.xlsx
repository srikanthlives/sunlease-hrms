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kanth/Library/CloudStorage/GoogleDrive-sunleaserenewables@gmail.com/My Drive/SL Pondy/02. HRMS/07. Compliance/PF/04. Apr 2026/"/>
    </mc:Choice>
  </mc:AlternateContent>
  <xr:revisionPtr revIDLastSave="0" documentId="13_ncr:1_{A9BEC942-7346-46A9-BD7E-6A421562A61F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F20" i="2"/>
  <c r="F21" i="2"/>
  <c r="F22" i="2"/>
  <c r="F23" i="2"/>
  <c r="F24" i="2"/>
  <c r="F25" i="2"/>
  <c r="F26" i="2"/>
  <c r="F27" i="2"/>
  <c r="F28" i="2"/>
  <c r="F10" i="2"/>
  <c r="F11" i="2"/>
  <c r="F12" i="2"/>
  <c r="F13" i="2"/>
  <c r="F14" i="2"/>
  <c r="F15" i="2"/>
  <c r="F16" i="2"/>
  <c r="F17" i="2"/>
  <c r="F18" i="2"/>
  <c r="F6" i="2"/>
  <c r="F7" i="2"/>
  <c r="F8" i="2"/>
  <c r="F9" i="2"/>
  <c r="F3" i="2"/>
  <c r="F4" i="2"/>
  <c r="F5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" i="2"/>
  <c r="I2" i="2" l="1"/>
  <c r="I20" i="2"/>
  <c r="I21" i="2"/>
  <c r="I22" i="2"/>
  <c r="I23" i="2"/>
  <c r="I24" i="2"/>
  <c r="I25" i="2"/>
  <c r="I26" i="2"/>
  <c r="I27" i="2"/>
  <c r="I28" i="2"/>
  <c r="I19" i="2"/>
  <c r="H20" i="2"/>
  <c r="H21" i="2"/>
  <c r="H22" i="2"/>
  <c r="J22" i="2" s="1"/>
  <c r="H23" i="2"/>
  <c r="H24" i="2"/>
  <c r="H25" i="2"/>
  <c r="H26" i="2"/>
  <c r="H27" i="2"/>
  <c r="H28" i="2"/>
  <c r="H19" i="2"/>
  <c r="I3" i="2"/>
  <c r="I4" i="2"/>
  <c r="I5" i="2"/>
  <c r="I6" i="2"/>
  <c r="I7" i="2"/>
  <c r="I8" i="2"/>
  <c r="J8" i="2" s="1"/>
  <c r="I9" i="2"/>
  <c r="J9" i="2" s="1"/>
  <c r="I10" i="2"/>
  <c r="I11" i="2"/>
  <c r="I12" i="2"/>
  <c r="I13" i="2"/>
  <c r="I14" i="2"/>
  <c r="I15" i="2"/>
  <c r="I16" i="2"/>
  <c r="I17" i="2"/>
  <c r="I18" i="2"/>
  <c r="H18" i="2"/>
  <c r="H3" i="2"/>
  <c r="J3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2" i="2"/>
  <c r="J2" i="2" s="1"/>
  <c r="J20" i="2" l="1"/>
  <c r="J7" i="2"/>
  <c r="J23" i="2"/>
  <c r="J19" i="2"/>
  <c r="J10" i="2"/>
  <c r="J27" i="2"/>
  <c r="J26" i="2"/>
  <c r="J24" i="2"/>
  <c r="J25" i="2"/>
  <c r="J12" i="2"/>
  <c r="J4" i="2"/>
  <c r="J11" i="2"/>
  <c r="J28" i="2"/>
  <c r="J6" i="2"/>
  <c r="J5" i="2"/>
  <c r="J21" i="2"/>
  <c r="J13" i="2"/>
  <c r="J15" i="2"/>
  <c r="J17" i="2"/>
  <c r="J16" i="2"/>
  <c r="J18" i="2"/>
  <c r="J14" i="2"/>
</calcChain>
</file>

<file path=xl/sharedStrings.xml><?xml version="1.0" encoding="utf-8"?>
<sst xmlns="http://schemas.openxmlformats.org/spreadsheetml/2006/main" count="93" uniqueCount="67">
  <si>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</si>
  <si>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</si>
  <si>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</si>
  <si>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</si>
  <si>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</si>
  <si>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</si>
  <si>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</si>
  <si>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</si>
  <si>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</si>
  <si>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</si>
  <si>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</si>
  <si>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102316299815</t>
  </si>
  <si>
    <t>A JAYAKUMAR</t>
  </si>
  <si>
    <t>102319515349</t>
  </si>
  <si>
    <t>A KANNIYAPPAN</t>
  </si>
  <si>
    <t>102014999813</t>
  </si>
  <si>
    <t>A VENGATESH</t>
  </si>
  <si>
    <t>100715848213</t>
  </si>
  <si>
    <t>CHANDRAN</t>
  </si>
  <si>
    <t>102322960715</t>
  </si>
  <si>
    <t>102316205916</t>
  </si>
  <si>
    <t>DHINESHKUMAR T</t>
  </si>
  <si>
    <t>102319514247</t>
  </si>
  <si>
    <t>E KALAINATHAN</t>
  </si>
  <si>
    <t>101872339847</t>
  </si>
  <si>
    <t>G GOHAN</t>
  </si>
  <si>
    <t>101444544675</t>
  </si>
  <si>
    <t>J KARTHIKEYAN</t>
  </si>
  <si>
    <t>102316188186</t>
  </si>
  <si>
    <t>K KOWSALYAA</t>
  </si>
  <si>
    <t>102317413912</t>
  </si>
  <si>
    <t>K NEPPOLIYAN</t>
  </si>
  <si>
    <t>102105560558</t>
  </si>
  <si>
    <t>K RANJITH</t>
  </si>
  <si>
    <t>101602753988</t>
  </si>
  <si>
    <t>KAMESH</t>
  </si>
  <si>
    <t>102322893931</t>
  </si>
  <si>
    <t>M ILAYAKAVI</t>
  </si>
  <si>
    <t>102317204924</t>
  </si>
  <si>
    <t>M MOHAMED VASSIM ALIAS AMEEN</t>
  </si>
  <si>
    <t>101288973053</t>
  </si>
  <si>
    <t>MARIMUTHU</t>
  </si>
  <si>
    <t>102316502317</t>
  </si>
  <si>
    <t>MANIMARAN</t>
  </si>
  <si>
    <t>102234097196</t>
  </si>
  <si>
    <t>N ARULRAJAN</t>
  </si>
  <si>
    <t>101749434694</t>
  </si>
  <si>
    <t>N SUDHAGAR</t>
  </si>
  <si>
    <t>102316980608</t>
  </si>
  <si>
    <t>R ARUMUGAM</t>
  </si>
  <si>
    <t>100940836939</t>
  </si>
  <si>
    <t>R DHARMENDRA</t>
  </si>
  <si>
    <t>102316503830</t>
  </si>
  <si>
    <t>R MICHELLE</t>
  </si>
  <si>
    <t>102319511048</t>
  </si>
  <si>
    <t>R MUTHUMANI</t>
  </si>
  <si>
    <t>102315809644</t>
  </si>
  <si>
    <t>S SELVALATCHOUMY</t>
  </si>
  <si>
    <t>102316947276</t>
  </si>
  <si>
    <t>S VIJAY</t>
  </si>
  <si>
    <t>102091620615</t>
  </si>
  <si>
    <t>V DIYAANESWAR</t>
  </si>
  <si>
    <t>102319522289</t>
  </si>
  <si>
    <t>V SATHISHKUMAR</t>
  </si>
  <si>
    <t>OPTEDOUT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</si>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</sst>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31" sqref="H31"/>
    </sheetView>
  </sheetViews>
  <sheetFormatPr baseColWidth="10" defaultColWidth="8.83203125" defaultRowHeight="15" x14ac:dyDescent="0.2"/>
  <cols>
    <col min="1" max="1" width="11" bestFit="1" customWidth="1"/>
    <col min="2" max="2" width="16.5" bestFit="1" customWidth="1"/>
    <col min="3" max="3" width="42.5" bestFit="1" customWidth="1"/>
    <col min="4" max="4" width="15.33203125" customWidth="1"/>
    <col min="5" max="5" width="12.1640625" customWidth="1"/>
    <col min="6" max="6" width="12.33203125" customWidth="1"/>
    <col min="7" max="7" width="12.6640625" customWidth="1"/>
    <col min="8" max="8" width="21.83203125" bestFit="1" customWidth="1"/>
    <col min="9" max="9" width="22.33203125" bestFit="1" customWidth="1"/>
    <col min="10" max="10" width="23.5" bestFit="1" customWidth="1"/>
    <col min="11" max="11" width="10.33203125" bestFit="1" customWidth="1"/>
    <col min="12" max="12" width="22.6640625" bestFit="1" customWidth="1"/>
  </cols>
  <sheetData>
    <row r="1" spans="1:12" x14ac:dyDescent="0.2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65</v>
      </c>
      <c r="B2" t="s">
        <v>48</v>
      </c>
      <c r="C2" t="s">
        <v>49</v>
      </c>
      <c r="D2">
        <v>21614</v>
      </c>
      <c r="E2">
        <v>15000</v>
      </c>
      <c r="F2">
        <f>IF(A2="Y",0,E2)</f>
        <v>0</v>
      </c>
      <c r="G2">
        <f>E2</f>
        <v>15000</v>
      </c>
      <c r="H2" s="2">
        <f t="shared" ref="H2:H28" si="0">E2*12%</f>
        <v>1800</v>
      </c>
      <c r="I2" s="2">
        <f>IF(F2&gt;0,ROUND(F2*8.33%,0),0)</f>
        <v>0</v>
      </c>
      <c r="J2" s="2">
        <f>IF(F2&gt;0,H2-I2,H2)</f>
        <v>1800</v>
      </c>
      <c r="K2" s="2">
        <v>0</v>
      </c>
      <c r="L2" s="2">
        <v>0</v>
      </c>
    </row>
    <row r="3" spans="1:12" x14ac:dyDescent="0.2">
      <c r="A3" t="s">
        <v>65</v>
      </c>
      <c r="B3" t="s">
        <v>42</v>
      </c>
      <c r="C3" t="s">
        <v>43</v>
      </c>
      <c r="D3">
        <v>21614</v>
      </c>
      <c r="E3">
        <v>15000</v>
      </c>
      <c r="F3">
        <f t="shared" ref="F3:F28" si="1">IF(A3="Y",0,E3)</f>
        <v>0</v>
      </c>
      <c r="G3">
        <f t="shared" ref="G3:G28" si="2">E3</f>
        <v>15000</v>
      </c>
      <c r="H3" s="2">
        <f t="shared" si="0"/>
        <v>1800</v>
      </c>
      <c r="I3" s="2">
        <f t="shared" ref="I3:I18" si="3">ROUND(F3*8.33%,0)</f>
        <v>0</v>
      </c>
      <c r="J3" s="2">
        <f t="shared" ref="J3:J18" si="4">H3-I3</f>
        <v>1800</v>
      </c>
      <c r="K3" s="2">
        <v>0</v>
      </c>
      <c r="L3" s="2">
        <v>0</v>
      </c>
    </row>
    <row r="4" spans="1:12" x14ac:dyDescent="0.2">
      <c r="A4" t="s">
        <v>66</v>
      </c>
      <c r="B4" t="s">
        <v>24</v>
      </c>
      <c r="C4" t="s">
        <v>25</v>
      </c>
      <c r="D4">
        <v>21614</v>
      </c>
      <c r="E4">
        <v>15000</v>
      </c>
      <c r="F4">
        <f t="shared" si="1"/>
        <v>15000</v>
      </c>
      <c r="G4">
        <f t="shared" si="2"/>
        <v>15000</v>
      </c>
      <c r="H4" s="2">
        <f t="shared" si="0"/>
        <v>1800</v>
      </c>
      <c r="I4" s="2">
        <f t="shared" si="3"/>
        <v>1250</v>
      </c>
      <c r="J4" s="2">
        <f t="shared" si="4"/>
        <v>550</v>
      </c>
      <c r="K4" s="2">
        <v>0</v>
      </c>
      <c r="L4" s="2">
        <v>0</v>
      </c>
    </row>
    <row r="5" spans="1:12" x14ac:dyDescent="0.2">
      <c r="A5" t="s">
        <v>66</v>
      </c>
      <c r="B5" t="s">
        <v>44</v>
      </c>
      <c r="C5" t="s">
        <v>45</v>
      </c>
      <c r="D5">
        <v>21614</v>
      </c>
      <c r="E5">
        <v>15000</v>
      </c>
      <c r="F5">
        <f t="shared" si="1"/>
        <v>15000</v>
      </c>
      <c r="G5">
        <f t="shared" si="2"/>
        <v>15000</v>
      </c>
      <c r="H5" s="2">
        <f t="shared" si="0"/>
        <v>1800</v>
      </c>
      <c r="I5" s="2">
        <f t="shared" si="3"/>
        <v>1250</v>
      </c>
      <c r="J5" s="2">
        <f t="shared" si="4"/>
        <v>550</v>
      </c>
      <c r="K5" s="2">
        <v>0</v>
      </c>
      <c r="L5" s="2">
        <v>0</v>
      </c>
    </row>
    <row r="6" spans="1:12" x14ac:dyDescent="0.2">
      <c r="A6" t="s">
        <v>65</v>
      </c>
      <c r="B6" t="s">
        <v>58</v>
      </c>
      <c r="C6" t="s">
        <v>59</v>
      </c>
      <c r="D6">
        <v>21614</v>
      </c>
      <c r="E6">
        <v>10087</v>
      </c>
      <c r="F6">
        <f>IF(A6="Y",0,E6)</f>
        <v>0</v>
      </c>
      <c r="G6">
        <f t="shared" si="2"/>
        <v>10087</v>
      </c>
      <c r="H6" s="2">
        <f t="shared" si="0"/>
        <v>1210.44</v>
      </c>
      <c r="I6" s="2">
        <f t="shared" si="3"/>
        <v>0</v>
      </c>
      <c r="J6" s="2">
        <f t="shared" si="4"/>
        <v>1210.44</v>
      </c>
      <c r="K6" s="2">
        <v>0</v>
      </c>
      <c r="L6" s="2">
        <v>0</v>
      </c>
    </row>
    <row r="7" spans="1:12" x14ac:dyDescent="0.2">
      <c r="A7" t="s">
        <v>66</v>
      </c>
      <c r="B7" t="s">
        <v>17</v>
      </c>
      <c r="C7" t="s">
        <v>18</v>
      </c>
      <c r="D7">
        <v>21614</v>
      </c>
      <c r="E7">
        <v>15000</v>
      </c>
      <c r="F7">
        <f t="shared" si="1"/>
        <v>15000</v>
      </c>
      <c r="G7">
        <f t="shared" si="2"/>
        <v>15000</v>
      </c>
      <c r="H7" s="2">
        <f t="shared" si="0"/>
        <v>1800</v>
      </c>
      <c r="I7" s="2">
        <f t="shared" si="3"/>
        <v>1250</v>
      </c>
      <c r="J7" s="2">
        <f t="shared" si="4"/>
        <v>550</v>
      </c>
      <c r="K7" s="2">
        <v>0</v>
      </c>
      <c r="L7" s="2">
        <v>0</v>
      </c>
    </row>
    <row r="8" spans="1:12" x14ac:dyDescent="0.2">
      <c r="A8" t="s">
        <v>65</v>
      </c>
      <c r="B8" t="s">
        <v>30</v>
      </c>
      <c r="C8" t="s">
        <v>31</v>
      </c>
      <c r="D8">
        <v>21614</v>
      </c>
      <c r="E8">
        <v>15000</v>
      </c>
      <c r="F8">
        <f t="shared" si="1"/>
        <v>0</v>
      </c>
      <c r="G8">
        <f t="shared" si="2"/>
        <v>15000</v>
      </c>
      <c r="H8" s="2">
        <f t="shared" si="0"/>
        <v>1800</v>
      </c>
      <c r="I8" s="2">
        <f t="shared" si="3"/>
        <v>0</v>
      </c>
      <c r="J8" s="2">
        <f t="shared" si="4"/>
        <v>1800</v>
      </c>
      <c r="K8" s="2">
        <v>0</v>
      </c>
      <c r="L8" s="2">
        <v>0</v>
      </c>
    </row>
    <row r="9" spans="1:12" x14ac:dyDescent="0.2">
      <c r="A9" t="s">
        <v>66</v>
      </c>
      <c r="B9" t="s">
        <v>40</v>
      </c>
      <c r="C9" t="s">
        <v>41</v>
      </c>
      <c r="D9">
        <v>21614</v>
      </c>
      <c r="E9">
        <v>15000</v>
      </c>
      <c r="F9">
        <f t="shared" si="1"/>
        <v>15000</v>
      </c>
      <c r="G9">
        <f t="shared" si="2"/>
        <v>15000</v>
      </c>
      <c r="H9" s="2">
        <f t="shared" si="0"/>
        <v>1800</v>
      </c>
      <c r="I9" s="2">
        <f t="shared" si="3"/>
        <v>1250</v>
      </c>
      <c r="J9" s="2">
        <f t="shared" si="4"/>
        <v>550</v>
      </c>
      <c r="K9" s="2">
        <v>0</v>
      </c>
      <c r="L9" s="2">
        <v>0</v>
      </c>
    </row>
    <row r="10" spans="1:12" x14ac:dyDescent="0.2">
      <c r="A10" t="s">
        <v>66</v>
      </c>
      <c r="B10" t="s">
        <v>15</v>
      </c>
      <c r="C10" t="s">
        <v>16</v>
      </c>
      <c r="D10">
        <v>21614</v>
      </c>
      <c r="E10">
        <v>2161</v>
      </c>
      <c r="F10">
        <f t="shared" si="1"/>
        <v>2161</v>
      </c>
      <c r="G10">
        <f t="shared" si="2"/>
        <v>2161</v>
      </c>
      <c r="H10" s="2">
        <f t="shared" si="0"/>
        <v>259.32</v>
      </c>
      <c r="I10" s="2">
        <f t="shared" si="3"/>
        <v>180</v>
      </c>
      <c r="J10" s="2">
        <f t="shared" si="4"/>
        <v>79.319999999999993</v>
      </c>
      <c r="K10" s="2">
        <v>0</v>
      </c>
      <c r="L10" s="2">
        <v>0</v>
      </c>
    </row>
    <row r="11" spans="1:12" x14ac:dyDescent="0.2">
      <c r="A11" t="s">
        <v>65</v>
      </c>
      <c r="B11" t="s">
        <v>11</v>
      </c>
      <c r="C11" t="s">
        <v>12</v>
      </c>
      <c r="D11">
        <v>21614</v>
      </c>
      <c r="E11">
        <v>15000</v>
      </c>
      <c r="F11">
        <f t="shared" si="1"/>
        <v>0</v>
      </c>
      <c r="G11">
        <f t="shared" si="2"/>
        <v>15000</v>
      </c>
      <c r="H11" s="2">
        <f t="shared" si="0"/>
        <v>1800</v>
      </c>
      <c r="I11" s="2">
        <f t="shared" si="3"/>
        <v>0</v>
      </c>
      <c r="J11" s="2">
        <f t="shared" si="4"/>
        <v>1800</v>
      </c>
      <c r="K11" s="2">
        <v>0</v>
      </c>
      <c r="L11" s="2">
        <v>0</v>
      </c>
    </row>
    <row r="12" spans="1:12" x14ac:dyDescent="0.2">
      <c r="A12" t="s">
        <v>65</v>
      </c>
      <c r="B12" t="s">
        <v>38</v>
      </c>
      <c r="C12" t="s">
        <v>39</v>
      </c>
      <c r="D12">
        <v>21614</v>
      </c>
      <c r="E12">
        <v>14409</v>
      </c>
      <c r="F12">
        <f t="shared" si="1"/>
        <v>0</v>
      </c>
      <c r="G12">
        <f t="shared" si="2"/>
        <v>14409</v>
      </c>
      <c r="H12" s="2">
        <f t="shared" si="0"/>
        <v>1729.08</v>
      </c>
      <c r="I12" s="2">
        <f t="shared" si="3"/>
        <v>0</v>
      </c>
      <c r="J12" s="2">
        <f t="shared" si="4"/>
        <v>1729.08</v>
      </c>
      <c r="K12" s="2">
        <v>0</v>
      </c>
      <c r="L12" s="2">
        <v>0</v>
      </c>
    </row>
    <row r="13" spans="1:12" x14ac:dyDescent="0.2">
      <c r="A13" t="s">
        <v>65</v>
      </c>
      <c r="B13" t="s">
        <v>62</v>
      </c>
      <c r="C13" t="s">
        <v>63</v>
      </c>
      <c r="D13">
        <v>21614</v>
      </c>
      <c r="E13" s="2">
        <v>12968</v>
      </c>
      <c r="F13">
        <f t="shared" si="1"/>
        <v>0</v>
      </c>
      <c r="G13">
        <f t="shared" si="2"/>
        <v>12968</v>
      </c>
      <c r="H13" s="2">
        <f t="shared" si="0"/>
        <v>1556.1599999999999</v>
      </c>
      <c r="I13" s="2">
        <f t="shared" si="3"/>
        <v>0</v>
      </c>
      <c r="J13" s="2">
        <f t="shared" si="4"/>
        <v>1556.1599999999999</v>
      </c>
      <c r="K13" s="2">
        <v>0</v>
      </c>
      <c r="L13" s="2">
        <v>0</v>
      </c>
    </row>
    <row r="14" spans="1:12" x14ac:dyDescent="0.2">
      <c r="A14" t="s">
        <v>65</v>
      </c>
      <c r="B14" t="s">
        <v>13</v>
      </c>
      <c r="C14" t="s">
        <v>14</v>
      </c>
      <c r="D14">
        <v>21614</v>
      </c>
      <c r="E14" s="2">
        <v>12608</v>
      </c>
      <c r="F14">
        <f t="shared" si="1"/>
        <v>0</v>
      </c>
      <c r="G14">
        <f t="shared" si="2"/>
        <v>12608</v>
      </c>
      <c r="H14" s="2">
        <f t="shared" si="0"/>
        <v>1512.96</v>
      </c>
      <c r="I14" s="2">
        <f t="shared" si="3"/>
        <v>0</v>
      </c>
      <c r="J14" s="2">
        <f t="shared" si="4"/>
        <v>1512.96</v>
      </c>
      <c r="K14" s="2">
        <v>0</v>
      </c>
      <c r="L14" s="2">
        <v>0</v>
      </c>
    </row>
    <row r="15" spans="1:12" x14ac:dyDescent="0.2">
      <c r="A15" t="s">
        <v>65</v>
      </c>
      <c r="B15" t="s">
        <v>54</v>
      </c>
      <c r="C15" t="s">
        <v>55</v>
      </c>
      <c r="D15">
        <v>21614</v>
      </c>
      <c r="E15" s="2">
        <v>13689</v>
      </c>
      <c r="F15">
        <f t="shared" si="1"/>
        <v>0</v>
      </c>
      <c r="G15">
        <f t="shared" si="2"/>
        <v>13689</v>
      </c>
      <c r="H15" s="2">
        <f t="shared" si="0"/>
        <v>1642.6799999999998</v>
      </c>
      <c r="I15" s="2">
        <f t="shared" si="3"/>
        <v>0</v>
      </c>
      <c r="J15" s="2">
        <f t="shared" si="4"/>
        <v>1642.6799999999998</v>
      </c>
      <c r="K15" s="2">
        <v>0</v>
      </c>
      <c r="L15" s="2">
        <v>0</v>
      </c>
    </row>
    <row r="16" spans="1:12" x14ac:dyDescent="0.2">
      <c r="A16" t="s">
        <v>65</v>
      </c>
      <c r="B16" t="s">
        <v>19</v>
      </c>
      <c r="C16" t="s">
        <v>18</v>
      </c>
      <c r="D16">
        <v>21614</v>
      </c>
      <c r="E16" s="2">
        <v>12968</v>
      </c>
      <c r="F16">
        <f t="shared" si="1"/>
        <v>0</v>
      </c>
      <c r="G16">
        <f t="shared" si="2"/>
        <v>12968</v>
      </c>
      <c r="H16" s="2">
        <f t="shared" si="0"/>
        <v>1556.1599999999999</v>
      </c>
      <c r="I16" s="2">
        <f t="shared" si="3"/>
        <v>0</v>
      </c>
      <c r="J16" s="2">
        <f t="shared" si="4"/>
        <v>1556.1599999999999</v>
      </c>
      <c r="K16" s="2">
        <v>0</v>
      </c>
      <c r="L16" s="2">
        <v>0</v>
      </c>
    </row>
    <row r="17" spans="1:12" x14ac:dyDescent="0.2">
      <c r="A17" t="s">
        <v>65</v>
      </c>
      <c r="B17" t="s">
        <v>36</v>
      </c>
      <c r="C17" t="s">
        <v>37</v>
      </c>
      <c r="D17">
        <v>21614</v>
      </c>
      <c r="E17" s="2">
        <v>12968</v>
      </c>
      <c r="F17">
        <f t="shared" si="1"/>
        <v>0</v>
      </c>
      <c r="G17">
        <f t="shared" si="2"/>
        <v>12968</v>
      </c>
      <c r="H17" s="2">
        <f t="shared" si="0"/>
        <v>1556.1599999999999</v>
      </c>
      <c r="I17" s="2">
        <f t="shared" si="3"/>
        <v>0</v>
      </c>
      <c r="J17" s="2">
        <f t="shared" si="4"/>
        <v>1556.1599999999999</v>
      </c>
      <c r="K17" s="2">
        <v>0</v>
      </c>
      <c r="L17" s="2">
        <v>0</v>
      </c>
    </row>
    <row r="18" spans="1:12" x14ac:dyDescent="0.2">
      <c r="A18" t="s">
        <v>65</v>
      </c>
      <c r="B18" t="s">
        <v>22</v>
      </c>
      <c r="C18" t="s">
        <v>23</v>
      </c>
      <c r="D18">
        <v>21614</v>
      </c>
      <c r="E18" s="2">
        <v>13689</v>
      </c>
      <c r="F18">
        <f t="shared" si="1"/>
        <v>0</v>
      </c>
      <c r="G18">
        <f t="shared" si="2"/>
        <v>13689</v>
      </c>
      <c r="H18" s="2">
        <f t="shared" si="0"/>
        <v>1642.6799999999998</v>
      </c>
      <c r="I18" s="2">
        <f t="shared" si="3"/>
        <v>0</v>
      </c>
      <c r="J18" s="2">
        <f t="shared" si="4"/>
        <v>1642.6799999999998</v>
      </c>
      <c r="K18" s="2">
        <v>0</v>
      </c>
      <c r="L18" s="2">
        <v>0</v>
      </c>
    </row>
    <row r="19" spans="1:12" x14ac:dyDescent="0.2">
      <c r="A19" t="s">
        <v>66</v>
      </c>
      <c r="B19" s="3" t="s">
        <v>20</v>
      </c>
      <c r="C19" s="3" t="s">
        <v>21</v>
      </c>
      <c r="D19" s="3">
        <v>12699</v>
      </c>
      <c r="E19" s="3">
        <v>12699</v>
      </c>
      <c r="F19" s="4">
        <f>IF(A19="Y",0,E19)</f>
        <v>12699</v>
      </c>
      <c r="G19" s="4">
        <f t="shared" si="2"/>
        <v>12699</v>
      </c>
      <c r="H19" s="4">
        <f t="shared" si="0"/>
        <v>1523.8799999999999</v>
      </c>
      <c r="I19" s="4">
        <f>ROUND(F19*8.33%,0)</f>
        <v>1058</v>
      </c>
      <c r="J19" s="4">
        <f>H19-I19</f>
        <v>465.87999999999988</v>
      </c>
      <c r="K19" s="4">
        <v>0</v>
      </c>
      <c r="L19" s="4">
        <v>0</v>
      </c>
    </row>
    <row r="20" spans="1:12" x14ac:dyDescent="0.2">
      <c r="A20" t="s">
        <v>66</v>
      </c>
      <c r="B20" t="s">
        <v>34</v>
      </c>
      <c r="C20" t="s">
        <v>35</v>
      </c>
      <c r="D20">
        <v>12699</v>
      </c>
      <c r="E20" s="2">
        <v>12276</v>
      </c>
      <c r="F20">
        <f t="shared" si="1"/>
        <v>12276</v>
      </c>
      <c r="G20">
        <f t="shared" si="2"/>
        <v>12276</v>
      </c>
      <c r="H20" s="2">
        <f t="shared" si="0"/>
        <v>1473.12</v>
      </c>
      <c r="I20" s="2">
        <f t="shared" ref="I20:I28" si="5">ROUND(F20*8.33%,0)</f>
        <v>1023</v>
      </c>
      <c r="J20" s="2">
        <f t="shared" ref="J20:J28" si="6">H20-I20</f>
        <v>450.11999999999989</v>
      </c>
      <c r="K20" s="2">
        <v>0</v>
      </c>
      <c r="L20" s="2">
        <v>0</v>
      </c>
    </row>
    <row r="21" spans="1:12" x14ac:dyDescent="0.2">
      <c r="A21" t="s">
        <v>66</v>
      </c>
      <c r="B21" t="s">
        <v>46</v>
      </c>
      <c r="C21" t="s">
        <v>47</v>
      </c>
      <c r="D21">
        <v>13000</v>
      </c>
      <c r="E21">
        <v>12567</v>
      </c>
      <c r="F21">
        <f t="shared" si="1"/>
        <v>12567</v>
      </c>
      <c r="G21">
        <f t="shared" si="2"/>
        <v>12567</v>
      </c>
      <c r="H21" s="2">
        <f t="shared" si="0"/>
        <v>1508.04</v>
      </c>
      <c r="I21" s="2">
        <f t="shared" si="5"/>
        <v>1047</v>
      </c>
      <c r="J21" s="2">
        <f t="shared" si="6"/>
        <v>461.03999999999996</v>
      </c>
      <c r="K21" s="2">
        <v>0</v>
      </c>
      <c r="L21" s="2">
        <v>0</v>
      </c>
    </row>
    <row r="22" spans="1:12" x14ac:dyDescent="0.2">
      <c r="A22" t="s">
        <v>66</v>
      </c>
      <c r="B22" t="s">
        <v>32</v>
      </c>
      <c r="C22" t="s">
        <v>33</v>
      </c>
      <c r="D22">
        <v>12699</v>
      </c>
      <c r="E22">
        <v>12699</v>
      </c>
      <c r="F22">
        <f t="shared" si="1"/>
        <v>12699</v>
      </c>
      <c r="G22">
        <f t="shared" si="2"/>
        <v>12699</v>
      </c>
      <c r="H22" s="2">
        <f t="shared" si="0"/>
        <v>1523.8799999999999</v>
      </c>
      <c r="I22" s="2">
        <f t="shared" si="5"/>
        <v>1058</v>
      </c>
      <c r="J22" s="2">
        <f t="shared" si="6"/>
        <v>465.87999999999988</v>
      </c>
      <c r="K22" s="2">
        <v>0</v>
      </c>
      <c r="L22" s="2">
        <v>0</v>
      </c>
    </row>
    <row r="23" spans="1:12" x14ac:dyDescent="0.2">
      <c r="A23" t="s">
        <v>66</v>
      </c>
      <c r="B23" t="s">
        <v>28</v>
      </c>
      <c r="C23" t="s">
        <v>29</v>
      </c>
      <c r="D23">
        <v>12287</v>
      </c>
      <c r="E23">
        <v>12287</v>
      </c>
      <c r="F23">
        <f>IF(A23="Y",0,E23)</f>
        <v>12287</v>
      </c>
      <c r="G23">
        <f t="shared" si="2"/>
        <v>12287</v>
      </c>
      <c r="H23" s="2">
        <f t="shared" si="0"/>
        <v>1474.44</v>
      </c>
      <c r="I23" s="2">
        <f t="shared" si="5"/>
        <v>1024</v>
      </c>
      <c r="J23" s="2">
        <f t="shared" si="6"/>
        <v>450.44000000000005</v>
      </c>
      <c r="K23" s="2">
        <v>0</v>
      </c>
      <c r="L23" s="2">
        <v>0</v>
      </c>
    </row>
    <row r="24" spans="1:12" x14ac:dyDescent="0.2">
      <c r="A24" t="s">
        <v>66</v>
      </c>
      <c r="B24" t="s">
        <v>52</v>
      </c>
      <c r="C24" t="s">
        <v>53</v>
      </c>
      <c r="D24">
        <v>12287</v>
      </c>
      <c r="E24">
        <v>12287</v>
      </c>
      <c r="F24">
        <f t="shared" si="1"/>
        <v>12287</v>
      </c>
      <c r="G24">
        <f t="shared" si="2"/>
        <v>12287</v>
      </c>
      <c r="H24" s="2">
        <f t="shared" si="0"/>
        <v>1474.44</v>
      </c>
      <c r="I24" s="2">
        <f t="shared" si="5"/>
        <v>1024</v>
      </c>
      <c r="J24" s="2">
        <f t="shared" si="6"/>
        <v>450.44000000000005</v>
      </c>
      <c r="K24" s="2">
        <v>0</v>
      </c>
      <c r="L24" s="2">
        <v>0</v>
      </c>
    </row>
    <row r="25" spans="1:12" x14ac:dyDescent="0.2">
      <c r="A25" t="s">
        <v>66</v>
      </c>
      <c r="B25" t="s">
        <v>50</v>
      </c>
      <c r="C25" t="s">
        <v>51</v>
      </c>
      <c r="D25">
        <v>21614</v>
      </c>
      <c r="E25">
        <v>15000</v>
      </c>
      <c r="F25">
        <f t="shared" si="1"/>
        <v>15000</v>
      </c>
      <c r="G25">
        <f t="shared" si="2"/>
        <v>15000</v>
      </c>
      <c r="H25" s="2">
        <f t="shared" si="0"/>
        <v>1800</v>
      </c>
      <c r="I25" s="2">
        <f t="shared" si="5"/>
        <v>1250</v>
      </c>
      <c r="J25" s="2">
        <f t="shared" si="6"/>
        <v>550</v>
      </c>
      <c r="K25" s="2">
        <v>0</v>
      </c>
      <c r="L25" s="2">
        <v>0</v>
      </c>
    </row>
    <row r="26" spans="1:12" x14ac:dyDescent="0.2">
      <c r="A26" t="s">
        <v>66</v>
      </c>
      <c r="B26" t="s">
        <v>26</v>
      </c>
      <c r="C26" t="s">
        <v>27</v>
      </c>
      <c r="D26">
        <v>12699</v>
      </c>
      <c r="E26">
        <v>12699</v>
      </c>
      <c r="F26">
        <f t="shared" si="1"/>
        <v>12699</v>
      </c>
      <c r="G26">
        <f t="shared" si="2"/>
        <v>12699</v>
      </c>
      <c r="H26" s="2">
        <f t="shared" si="0"/>
        <v>1523.8799999999999</v>
      </c>
      <c r="I26" s="2">
        <f t="shared" si="5"/>
        <v>1058</v>
      </c>
      <c r="J26" s="2">
        <f t="shared" si="6"/>
        <v>465.87999999999988</v>
      </c>
      <c r="K26" s="2">
        <v>0</v>
      </c>
      <c r="L26" s="2">
        <v>0</v>
      </c>
    </row>
    <row r="27" spans="1:12" x14ac:dyDescent="0.2">
      <c r="A27" t="s">
        <v>66</v>
      </c>
      <c r="B27" t="s">
        <v>56</v>
      </c>
      <c r="C27" t="s">
        <v>57</v>
      </c>
      <c r="D27">
        <v>12287</v>
      </c>
      <c r="E27">
        <v>12287</v>
      </c>
      <c r="F27">
        <f t="shared" si="1"/>
        <v>12287</v>
      </c>
      <c r="G27">
        <f t="shared" si="2"/>
        <v>12287</v>
      </c>
      <c r="H27" s="2">
        <f t="shared" si="0"/>
        <v>1474.44</v>
      </c>
      <c r="I27" s="2">
        <f t="shared" si="5"/>
        <v>1024</v>
      </c>
      <c r="J27" s="2">
        <f t="shared" si="6"/>
        <v>450.44000000000005</v>
      </c>
      <c r="K27" s="2">
        <v>0</v>
      </c>
      <c r="L27" s="2">
        <v>0</v>
      </c>
    </row>
    <row r="28" spans="1:12" x14ac:dyDescent="0.2">
      <c r="A28" t="s">
        <v>66</v>
      </c>
      <c r="B28" t="s">
        <v>60</v>
      </c>
      <c r="C28" t="s">
        <v>61</v>
      </c>
      <c r="D28">
        <v>12699</v>
      </c>
      <c r="E28">
        <v>12699</v>
      </c>
      <c r="F28">
        <f t="shared" si="1"/>
        <v>12699</v>
      </c>
      <c r="G28">
        <f t="shared" si="2"/>
        <v>12699</v>
      </c>
      <c r="H28" s="2">
        <f t="shared" si="0"/>
        <v>1523.8799999999999</v>
      </c>
      <c r="I28" s="2">
        <f t="shared" si="5"/>
        <v>1058</v>
      </c>
      <c r="J28" s="2">
        <f t="shared" si="6"/>
        <v>465.87999999999988</v>
      </c>
      <c r="K28" s="2">
        <v>0</v>
      </c>
      <c r="L2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Srikanth Venumbaka</cp:lastModifiedBy>
  <dcterms:created xsi:type="dcterms:W3CDTF">2025-03-12T09:41:32Z</dcterms:created>
  <dcterms:modified xsi:type="dcterms:W3CDTF">2026-06-16T08:47:21Z</dcterms:modified>
</cp:coreProperties>
</file>